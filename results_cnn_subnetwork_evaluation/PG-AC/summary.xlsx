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PG-AC\"/>
    </mc:Choice>
  </mc:AlternateContent>
  <xr:revisionPtr revIDLastSave="0" documentId="13_ncr:1_{9AA8A4C8-8362-4732-9E03-989F9263F649}" xr6:coauthVersionLast="47" xr6:coauthVersionMax="47" xr10:uidLastSave="{00000000-0000-0000-0000-000000000000}"/>
  <bookViews>
    <workbookView xWindow="28680" yWindow="-120" windowWidth="29040" windowHeight="16440" tabRatio="660" xr2:uid="{00000000-000D-0000-FFFF-FFFF00000000}"/>
  </bookViews>
  <sheets>
    <sheet name="fullldata_20260110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5" l="1"/>
  <c r="V16" i="5"/>
  <c r="V15" i="5"/>
  <c r="V14" i="5"/>
  <c r="V13" i="5"/>
  <c r="V12" i="5"/>
  <c r="V11" i="5"/>
  <c r="V8" i="5"/>
  <c r="V7" i="5"/>
  <c r="V6" i="5"/>
  <c r="V5" i="5"/>
  <c r="V4" i="5"/>
  <c r="V3" i="5"/>
  <c r="V2" i="5"/>
  <c r="L3" i="5"/>
  <c r="L4" i="5"/>
  <c r="L5" i="5"/>
  <c r="L6" i="5"/>
  <c r="L7" i="5"/>
  <c r="L8" i="5"/>
  <c r="K6" i="5" a="1"/>
  <c r="K6" i="5" s="1"/>
  <c r="J6" i="5" a="1"/>
  <c r="J6" i="5" s="1"/>
  <c r="L17" i="5"/>
  <c r="L12" i="5"/>
  <c r="J8" i="5" a="1"/>
  <c r="J8" i="5" s="1"/>
  <c r="J7" i="5" a="1"/>
  <c r="J7" i="5" s="1"/>
  <c r="J5" i="5" a="1"/>
  <c r="J5" i="5" s="1"/>
  <c r="J4" i="5" a="1"/>
  <c r="J4" i="5" s="1"/>
  <c r="J3" i="5" a="1"/>
  <c r="J3" i="5" s="1"/>
  <c r="J2" i="5" a="1"/>
  <c r="J2" i="5" s="1"/>
  <c r="K8" i="5" a="1"/>
  <c r="K8" i="5" s="1"/>
  <c r="K7" i="5" a="1"/>
  <c r="K7" i="5" s="1"/>
  <c r="K5" i="5" a="1"/>
  <c r="K5" i="5" s="1"/>
  <c r="K4" i="5" a="1"/>
  <c r="K4" i="5" s="1"/>
  <c r="K3" i="5" a="1"/>
  <c r="K3" i="5" s="1"/>
  <c r="K2" i="5" a="1"/>
  <c r="K2" i="5" s="1"/>
  <c r="L16" i="5"/>
  <c r="L15" i="5"/>
  <c r="L14" i="5"/>
  <c r="L13" i="5"/>
  <c r="L11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<sst xmlns="http://schemas.openxmlformats.org/spreadsheetml/2006/main" count="46" uniqueCount="16">
  <si>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</si>
  <si>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</si>
  <si>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</si>
  <si>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</si>
  <si>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</si>
  <si>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</si>
  <si>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</si>
  <si>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</si>
  <si>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</si>
  <si>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tau=0.3, k=100</t>
    <phoneticPr fontId="1" type="noConversion"/>
  </si>
  <si>
    <t>Additive Fusion</t>
    <phoneticPr fontId="1" type="noConversion"/>
  </si>
  <si>
    <t>Multipicative Fusion</t>
    <phoneticPr fontId="1" type="noConversion"/>
  </si>
  <si>
    <t>Splicing Fusion</t>
    <phoneticPr fontId="1" type="noConversion"/>
  </si>
  <si>
    <t>Normalized</t>
    <phoneticPr fontId="1" type="noConversion"/>
  </si>
  <si>
    <t>UnNormalized</t>
    <phoneticPr fontId="1" type="noConversion"/>
  </si>
  <si>
    <t>AUC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</si>
</sst>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0" fillId="3" borderId="9" xfId="0" applyFill="1" applyBorder="1"/>
    <xf numFmtId="0" fontId="0" fillId="2" borderId="9" xfId="0" applyFill="1" applyBorder="1"/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2"/>
  <sheetViews>
    <sheetView tabSelected="1" zoomScaleNormal="100" workbookViewId="0">
      <selection activeCell="L4" sqref="L4"/>
    </sheetView>
  </sheetViews>
  <sheetFormatPr defaultRowHeight="14.25" x14ac:dyDescent="0.2"/>
  <cols>
    <col min="1" max="2" width="15" style="1" customWidth="1"/>
    <col min="3" max="12" width="9" style="1"/>
    <col min="13" max="14" width="15" style="1" customWidth="1"/>
    <col min="15" max="16384" width="9" style="1"/>
  </cols>
  <sheetData>
    <row r="1" spans="1:22" ht="15.75" thickBot="1" x14ac:dyDescent="0.25">
      <c r="A1" s="3" t="s">
        <v>0</v>
      </c>
      <c r="B1" s="4" t="s">
        <v>1</v>
      </c>
      <c r="C1" s="12">
        <v>1</v>
      </c>
      <c r="D1" s="12">
        <v>0.75</v>
      </c>
      <c r="E1" s="12">
        <v>0.5</v>
      </c>
      <c r="F1" s="12">
        <v>0.3</v>
      </c>
      <c r="G1" s="12">
        <v>0.2</v>
      </c>
      <c r="H1" s="12">
        <v>0.1</v>
      </c>
      <c r="I1" s="13">
        <v>0.05</v>
      </c>
      <c r="J1" s="18" t="s">
        <v>15</v>
      </c>
      <c r="K1" s="18" t="s">
        <v>15</v>
      </c>
      <c r="L1" s="27"/>
      <c r="M1" s="3" t="s">
        <v>3</v>
      </c>
      <c r="N1" s="4" t="s">
        <v>1</v>
      </c>
      <c r="O1" s="5">
        <v>1</v>
      </c>
      <c r="P1" s="12">
        <v>0.75</v>
      </c>
      <c r="Q1" s="12">
        <v>0.5</v>
      </c>
      <c r="R1" s="12">
        <v>0.3</v>
      </c>
      <c r="S1" s="12">
        <v>0.2</v>
      </c>
      <c r="T1" s="12">
        <v>0.1</v>
      </c>
      <c r="U1" s="13">
        <v>0.05</v>
      </c>
      <c r="V1" s="27"/>
    </row>
    <row r="2" spans="1:22" ht="15.75" thickBot="1" x14ac:dyDescent="0.25">
      <c r="A2" s="52" t="s">
        <v>6</v>
      </c>
      <c r="B2" s="53"/>
      <c r="C2" s="28">
        <v>93.101364775358491</v>
      </c>
      <c r="D2" s="29">
        <v>91.326663725464783</v>
      </c>
      <c r="E2" s="29">
        <v>89.722561037148537</v>
      </c>
      <c r="F2" s="29">
        <v>83.857204647099024</v>
      </c>
      <c r="G2" s="29">
        <v>76.242949045118635</v>
      </c>
      <c r="H2" s="29">
        <v>60.40277741733636</v>
      </c>
      <c r="I2" s="30">
        <v>47.740900296138662</v>
      </c>
      <c r="J2" s="31" cm="1">
        <f t="array" ref="J2">-SUMPRODUCT((D1:H1-C1:G1)*(C2:G2+D2:H2)/2)</f>
        <v>77.879927234087958</v>
      </c>
      <c r="K2" s="31" cm="1">
        <f t="array" ref="K2">-SUMPRODUCT((D1:I1-C1:H1)*(C2:H2+D2:I2)/2)</f>
        <v>80.583519176924838</v>
      </c>
      <c r="L2" s="27" t="str">
        <f>"    "&amp;_xlfn.TEXTJOIN(", ",TRUE,C2:I2)&amp;","</f>
        <v xml:space="preserve">    93.1013647753585, 91.3266637254648, 89.7225610371485, 83.857204647099, 76.2429490451186, 60.4027774173364, 47.7409002961387,</v>
      </c>
      <c r="M2" s="52" t="s">
        <v>6</v>
      </c>
      <c r="N2" s="53"/>
      <c r="O2" s="32">
        <v>3.4649270444699574</v>
      </c>
      <c r="P2" s="33">
        <v>4.4611797621615326</v>
      </c>
      <c r="Q2" s="33">
        <v>4.7712065248821434</v>
      </c>
      <c r="R2" s="33">
        <v>5.3965689103010375</v>
      </c>
      <c r="S2" s="33">
        <v>7.9323757260741923</v>
      </c>
      <c r="T2" s="33">
        <v>9.9900413492801565</v>
      </c>
      <c r="U2" s="34">
        <v>9.7565309936118432</v>
      </c>
      <c r="V2" s="27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52" t="s">
        <v>7</v>
      </c>
      <c r="B3" s="53"/>
      <c r="C3" s="32">
        <v>93.273358766079312</v>
      </c>
      <c r="D3" s="33">
        <v>91.615587793435367</v>
      </c>
      <c r="E3" s="33">
        <v>90.62053304959386</v>
      </c>
      <c r="F3" s="33">
        <v>86.59751381932368</v>
      </c>
      <c r="G3" s="33">
        <v>78.22435026831262</v>
      </c>
      <c r="H3" s="33">
        <v>60.854992978601317</v>
      </c>
      <c r="I3" s="34">
        <v>48.743933771053378</v>
      </c>
      <c r="J3" s="27" cm="1">
        <f t="array" ref="J3">-SUMPRODUCT((D1:H1-C1:G1)*(C3:G3+D3:H3)/2)</f>
        <v>78.807498478937248</v>
      </c>
      <c r="K3" s="27" cm="1">
        <f t="array" ref="K3">-SUMPRODUCT((D1:I1-C1:H1)*(C3:H3+D3:I3)/2)</f>
        <v>81.54747164767862</v>
      </c>
      <c r="L3" s="27" t="str">
        <f t="shared" ref="L3:L8" si="0">"    "&amp;_xlfn.TEXTJOIN(", ",TRUE,C3:I3)&amp;","</f>
        <v xml:space="preserve">    93.2733587660793, 91.6155877934354, 90.6205330495939, 86.5975138193237, 78.2243502683126, 60.8549929786013, 48.7439337710534,</v>
      </c>
      <c r="M3" s="52" t="s">
        <v>7</v>
      </c>
      <c r="N3" s="53"/>
      <c r="O3" s="32">
        <v>3.4672469457762647</v>
      </c>
      <c r="P3" s="33">
        <v>4.1066373858138912</v>
      </c>
      <c r="Q3" s="33">
        <v>4.4433442831389707</v>
      </c>
      <c r="R3" s="33">
        <v>4.8572661690244194</v>
      </c>
      <c r="S3" s="33">
        <v>6.7334065011993722</v>
      </c>
      <c r="T3" s="33">
        <v>9.3055912140758643</v>
      </c>
      <c r="U3" s="34">
        <v>9.1853207799272329</v>
      </c>
      <c r="V3" s="27" t="str">
        <f t="shared" ref="V3:V8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customHeight="1" thickBot="1" x14ac:dyDescent="0.25">
      <c r="A4" s="5" t="s">
        <v>9</v>
      </c>
      <c r="B4" s="14" t="s">
        <v>8</v>
      </c>
      <c r="C4" s="32">
        <v>93.36775404631527</v>
      </c>
      <c r="D4" s="33">
        <v>92.751321378212623</v>
      </c>
      <c r="E4" s="33">
        <v>91.875157512896592</v>
      </c>
      <c r="F4" s="33">
        <v>87.299731543237101</v>
      </c>
      <c r="G4" s="33">
        <v>82.189892069423905</v>
      </c>
      <c r="H4" s="33">
        <v>65.214707739686332</v>
      </c>
      <c r="I4" s="34">
        <v>52.399957323736928</v>
      </c>
      <c r="J4" s="27" cm="1">
        <f t="array" ref="J4">-SUMPRODUCT((D1:H1-C1:G1)*(C4:G4+D4:H4)/2)</f>
        <v>80.105394366156574</v>
      </c>
      <c r="K4" s="27" cm="1">
        <f t="array" ref="K4">-SUMPRODUCT((D1:I1-C1:H1)*(C4:H4+D4:I4)/2)</f>
        <v>83.04576099274216</v>
      </c>
      <c r="L4" s="27" t="str">
        <f t="shared" si="0"/>
        <v xml:space="preserve">    93.3677540463153, 92.7513213782126, 91.8751575128966, 87.2997315432371, 82.1898920694239, 65.2147077396863, 52.3999573237369,</v>
      </c>
      <c r="M4" s="5" t="s">
        <v>9</v>
      </c>
      <c r="N4" s="14" t="s">
        <v>8</v>
      </c>
      <c r="O4" s="32">
        <v>3.4526415829858039</v>
      </c>
      <c r="P4" s="33">
        <v>3.3433998054438892</v>
      </c>
      <c r="Q4" s="33">
        <v>3.7058114907824482</v>
      </c>
      <c r="R4" s="33">
        <v>4.4702152236483466</v>
      </c>
      <c r="S4" s="33">
        <v>5.7554909072366076</v>
      </c>
      <c r="T4" s="33">
        <v>8.7174631829379283</v>
      </c>
      <c r="U4" s="34">
        <v>9.5214543100253888</v>
      </c>
      <c r="V4" s="27" t="str">
        <f t="shared" si="1"/>
        <v xml:space="preserve">    3.4526415829858, 3.34339980544389, 3.70581149078245, 4.47021522364835, 5.75549090723661, 8.71746318293793, 9.52145431002539,</v>
      </c>
    </row>
    <row r="5" spans="1:22" ht="15.75" customHeight="1" thickBot="1" x14ac:dyDescent="0.25">
      <c r="A5" s="52" t="s">
        <v>10</v>
      </c>
      <c r="B5" s="53"/>
      <c r="C5" s="42">
        <v>93.32548436116808</v>
      </c>
      <c r="D5" s="43">
        <v>92.739539269370866</v>
      </c>
      <c r="E5" s="43">
        <v>91.500872268214565</v>
      </c>
      <c r="F5" s="43">
        <v>85.143369175627228</v>
      </c>
      <c r="G5" s="43">
        <v>75.147299428772442</v>
      </c>
      <c r="H5" s="43">
        <v>59.129842530356363</v>
      </c>
      <c r="I5" s="44">
        <v>48.364190001643621</v>
      </c>
      <c r="J5" s="27" cm="1">
        <f t="array" ref="J5">-SUMPRODUCT((D1:H1-C1:G1)*(C5:G5+D5:H5)/2)</f>
        <v>78.680994068576155</v>
      </c>
      <c r="K5" s="27" cm="1">
        <f t="array" ref="K5">-SUMPRODUCT((D1:I1-C1:H1)*(C5:H5+D5:I5)/2)</f>
        <v>81.368344881876155</v>
      </c>
      <c r="L5" s="27" t="str">
        <f t="shared" si="0"/>
        <v xml:space="preserve">    93.3254843611681, 92.7395392693709, 91.5008722682146, 85.1433691756272, 75.1472994287724, 59.1298425303564, 48.3641900016436,</v>
      </c>
      <c r="M5" s="52" t="s">
        <v>10</v>
      </c>
      <c r="N5" s="53"/>
      <c r="O5" s="42">
        <v>3.667959563183556</v>
      </c>
      <c r="P5" s="43">
        <v>3.989772059278164</v>
      </c>
      <c r="Q5" s="43">
        <v>4.3227288020875694</v>
      </c>
      <c r="R5" s="43">
        <v>4.691214264977404</v>
      </c>
      <c r="S5" s="43">
        <v>9.351372365820513</v>
      </c>
      <c r="T5" s="43">
        <v>11.12402361905577</v>
      </c>
      <c r="U5" s="44">
        <v>9.7177921031411447</v>
      </c>
      <c r="V5" s="27" t="str">
        <f t="shared" si="1"/>
        <v xml:space="preserve">    3.66795956318356, 3.98977205927816, 4.32272880208757, 4.6912142649774, 9.35137236582051, 11.1240236190558, 9.71779210314114,</v>
      </c>
    </row>
    <row r="6" spans="1:22" ht="15.75" customHeight="1" thickBot="1" x14ac:dyDescent="0.25">
      <c r="A6" s="58" t="s">
        <v>11</v>
      </c>
      <c r="B6" s="56"/>
      <c r="C6" s="42">
        <v>93.029579263949799</v>
      </c>
      <c r="D6" s="43">
        <v>91.699489903315182</v>
      </c>
      <c r="E6" s="43">
        <v>90.230102913231647</v>
      </c>
      <c r="F6" s="43">
        <v>85.684437869993104</v>
      </c>
      <c r="G6" s="43">
        <v>76.604408342632709</v>
      </c>
      <c r="H6" s="43">
        <v>60.525240991127369</v>
      </c>
      <c r="I6" s="49">
        <v>50.546463781405251</v>
      </c>
      <c r="J6" s="27" cm="1">
        <f t="array" ref="J6">-SUMPRODUCT((D1:H1-C1:G1)*(C6:G6+D6:H6)/2)</f>
        <v>78.394711603618248</v>
      </c>
      <c r="K6" s="27" cm="1">
        <f t="array" ref="K6">-SUMPRODUCT((D1:I1-C1:H1)*(C6:H6+D6:I6)/2)</f>
        <v>81.17150422293156</v>
      </c>
      <c r="L6" s="27" t="str">
        <f t="shared" si="0"/>
        <v xml:space="preserve">    93.0295792639498, 91.6994899033152, 90.2301029132316, 85.6844378699931, 76.6044083426327, 60.5252409911274, 50.5464637814053,</v>
      </c>
      <c r="M6" s="52" t="s">
        <v>11</v>
      </c>
      <c r="N6" s="53"/>
      <c r="O6" s="42">
        <v>3.744976414623296</v>
      </c>
      <c r="P6" s="43">
        <v>4.343666270045687</v>
      </c>
      <c r="Q6" s="43">
        <v>4.7437159565801874</v>
      </c>
      <c r="R6" s="43">
        <v>5.5306123777224894</v>
      </c>
      <c r="S6" s="43">
        <v>8.3512102986812558</v>
      </c>
      <c r="T6" s="43">
        <v>10.38527872584435</v>
      </c>
      <c r="U6" s="49">
        <v>9.5213328677383782</v>
      </c>
      <c r="V6" s="27" t="str">
        <f t="shared" si="1"/>
        <v xml:space="preserve">    3.7449764146233, 4.34366627004569, 4.74371595658019, 5.53061237772249, 8.35121029868126, 10.3852787258443, 9.52133286773838,</v>
      </c>
    </row>
    <row r="7" spans="1:22" ht="15.75" customHeight="1" x14ac:dyDescent="0.2">
      <c r="A7" s="5" t="s">
        <v>13</v>
      </c>
      <c r="B7" s="56" t="s">
        <v>12</v>
      </c>
      <c r="C7" s="32">
        <v>92.834854396087621</v>
      </c>
      <c r="D7" s="33">
        <v>91.543779213776347</v>
      </c>
      <c r="E7" s="33">
        <v>90.221590728870211</v>
      </c>
      <c r="F7" s="33">
        <v>81.966357840465747</v>
      </c>
      <c r="G7" s="33">
        <v>70.033858424380838</v>
      </c>
      <c r="H7" s="33">
        <v>59.126745617753343</v>
      </c>
      <c r="I7" s="34">
        <v>50.169361326655093</v>
      </c>
      <c r="J7" s="27" cm="1">
        <f t="array" ref="J7">-SUMPRODUCT((D1:H1-C1:G1)*(C7:G7+D7:H7)/2)</f>
        <v>77.044836316346462</v>
      </c>
      <c r="K7" s="27" cm="1">
        <f t="array" ref="K7">-SUMPRODUCT((D1:I1-C1:H1)*(C7:H7+D7:I7)/2)</f>
        <v>79.777238989956672</v>
      </c>
      <c r="L7" s="27" t="str">
        <f t="shared" si="0"/>
        <v xml:space="preserve">    92.8348543960876, 91.5437792137763, 90.2215907288702, 81.9663578404657, 70.0338584243808, 59.1267456177533, 50.1693613266551,</v>
      </c>
      <c r="M7" s="5" t="s">
        <v>13</v>
      </c>
      <c r="N7" s="56" t="s">
        <v>12</v>
      </c>
      <c r="O7" s="38">
        <v>4.0510436307120292</v>
      </c>
      <c r="P7" s="27">
        <v>3.6908355314818002</v>
      </c>
      <c r="Q7" s="27">
        <v>4.4374013556165783</v>
      </c>
      <c r="R7" s="27">
        <v>6.3902033256123429</v>
      </c>
      <c r="S7" s="27">
        <v>10.7999993987811</v>
      </c>
      <c r="T7" s="27">
        <v>10.29098287336047</v>
      </c>
      <c r="U7" s="39">
        <v>9.4084925093140743</v>
      </c>
      <c r="V7" s="27" t="str">
        <f t="shared" si="1"/>
        <v xml:space="preserve">    4.05104363071203, 3.6908355314818, 4.43740135561658, 6.39020332561234, 10.7999993987811, 10.2909828733605, 9.40849250931407,</v>
      </c>
    </row>
    <row r="8" spans="1:22" ht="15.75" customHeight="1" thickBot="1" x14ac:dyDescent="0.25">
      <c r="A8" s="16" t="s">
        <v>14</v>
      </c>
      <c r="B8" s="57"/>
      <c r="C8" s="35">
        <v>92.961657684466715</v>
      </c>
      <c r="D8" s="36">
        <v>91.581357393518388</v>
      </c>
      <c r="E8" s="36">
        <v>90.473438351542839</v>
      </c>
      <c r="F8" s="36">
        <v>86.603606720934735</v>
      </c>
      <c r="G8" s="36">
        <v>77.903932271617123</v>
      </c>
      <c r="H8" s="36">
        <v>59.567908603592286</v>
      </c>
      <c r="I8" s="37">
        <v>48.445153793141223</v>
      </c>
      <c r="J8" s="27" cm="1">
        <f t="array" ref="J8">-SUMPRODUCT((D1:H1-C1:G1)*(C8:G8+D8:H8)/2)</f>
        <v>78.631399853516598</v>
      </c>
      <c r="K8" s="27" cm="1">
        <f t="array" ref="K8">-SUMPRODUCT((D1:I1-C1:H1)*(C8:H8+D8:I8)/2)</f>
        <v>81.331726413434936</v>
      </c>
      <c r="L8" s="27" t="str">
        <f t="shared" si="0"/>
        <v xml:space="preserve">    92.9616576844667, 91.5813573935184, 90.4734383515428, 86.6036067209347, 77.9039322716171, 59.5679086035923, 48.4451537931412,</v>
      </c>
      <c r="M8" s="16" t="s">
        <v>14</v>
      </c>
      <c r="N8" s="57"/>
      <c r="O8" s="35">
        <v>3.561541743303076</v>
      </c>
      <c r="P8" s="36">
        <v>4.0732299909545224</v>
      </c>
      <c r="Q8" s="36">
        <v>4.7078541322877587</v>
      </c>
      <c r="R8" s="36">
        <v>5.7340237026421512</v>
      </c>
      <c r="S8" s="36">
        <v>7.7315701222211866</v>
      </c>
      <c r="T8" s="36">
        <v>8.7921119837631458</v>
      </c>
      <c r="U8" s="37">
        <v>6.9480359155607783</v>
      </c>
      <c r="V8" s="27" t="str">
        <f t="shared" si="1"/>
        <v xml:space="preserve">    3.56154174330308, 4.07322999095452, 4.70785413228776, 5.73402370264215, 7.73157012222119, 8.79211198376315, 6.94803591556078,</v>
      </c>
    </row>
    <row r="9" spans="1:22" ht="15" thickBot="1" x14ac:dyDescent="0.25"/>
    <row r="10" spans="1:22" ht="15.75" thickBot="1" x14ac:dyDescent="0.25">
      <c r="A10" s="6" t="s">
        <v>4</v>
      </c>
      <c r="B10" s="7" t="s">
        <v>1</v>
      </c>
      <c r="C10" s="9">
        <v>1</v>
      </c>
      <c r="D10" s="9">
        <v>0.75</v>
      </c>
      <c r="E10" s="9">
        <v>0.5</v>
      </c>
      <c r="F10" s="9">
        <v>0.3</v>
      </c>
      <c r="G10" s="9">
        <v>0.2</v>
      </c>
      <c r="H10" s="9">
        <v>0.1</v>
      </c>
      <c r="I10" s="7">
        <v>0.05</v>
      </c>
      <c r="J10" s="19"/>
      <c r="K10" s="19"/>
      <c r="L10" s="20"/>
      <c r="M10" s="6" t="s">
        <v>5</v>
      </c>
      <c r="N10" s="7" t="s">
        <v>1</v>
      </c>
      <c r="O10" s="10">
        <v>1</v>
      </c>
      <c r="P10" s="10">
        <v>0.75</v>
      </c>
      <c r="Q10" s="10">
        <v>0.5</v>
      </c>
      <c r="R10" s="10">
        <v>0.3</v>
      </c>
      <c r="S10" s="10">
        <v>0.2</v>
      </c>
      <c r="T10" s="10">
        <v>0.1</v>
      </c>
      <c r="U10" s="11">
        <v>0.05</v>
      </c>
      <c r="V10" s="20"/>
    </row>
    <row r="11" spans="1:22" ht="15.75" thickBot="1" x14ac:dyDescent="0.25">
      <c r="A11" s="54" t="s">
        <v>6</v>
      </c>
      <c r="B11" s="55"/>
      <c r="C11" s="21">
        <v>92.567111769713335</v>
      </c>
      <c r="D11" s="21">
        <v>90.835858608343599</v>
      </c>
      <c r="E11" s="21">
        <v>89.217505339533233</v>
      </c>
      <c r="F11" s="21">
        <v>83.237245964288078</v>
      </c>
      <c r="G11" s="21">
        <v>75.380430844191011</v>
      </c>
      <c r="H11" s="21">
        <v>58.994367187597383</v>
      </c>
      <c r="I11" s="22">
        <v>43.622535641382179</v>
      </c>
      <c r="J11" s="20"/>
      <c r="K11" s="20"/>
      <c r="L11" s="20" t="str">
        <f>"    "&amp;_xlfn.TEXTJOIN(", ",TRUE,C11:I11)&amp;","</f>
        <v xml:space="preserve">    92.5671117697133, 90.8358586083436, 89.2175053395332, 83.2372459642881, 75.380430844191, 58.9943671875974, 43.6225356413822,</v>
      </c>
      <c r="M11" s="54" t="s">
        <v>2</v>
      </c>
      <c r="N11" s="55"/>
      <c r="O11" s="23">
        <v>3.88093621561358</v>
      </c>
      <c r="P11" s="21">
        <v>4.8164746829677396</v>
      </c>
      <c r="Q11" s="21">
        <v>5.2250608386616522</v>
      </c>
      <c r="R11" s="21">
        <v>5.6675721086724113</v>
      </c>
      <c r="S11" s="21">
        <v>8.3263283482936075</v>
      </c>
      <c r="T11" s="21">
        <v>10.49020927094638</v>
      </c>
      <c r="U11" s="22">
        <v>11.060437347759546</v>
      </c>
      <c r="V11" s="20" t="str">
        <f>"    "&amp;_xlfn.TEXTJOIN(", ",TRUE,O11:U11)&amp;","</f>
        <v xml:space="preserve">    3.88093621561358, 4.81647468296774, 5.22506083866165, 5.66757210867241, 8.32632834829361, 10.4902092709464, 11.0604373477595,</v>
      </c>
    </row>
    <row r="12" spans="1:22" ht="15.75" thickBot="1" x14ac:dyDescent="0.25">
      <c r="A12" s="54" t="s">
        <v>7</v>
      </c>
      <c r="B12" s="55"/>
      <c r="C12" s="21">
        <v>92.866950218042462</v>
      </c>
      <c r="D12" s="21">
        <v>91.242690764745561</v>
      </c>
      <c r="E12" s="21">
        <v>90.137053227698445</v>
      </c>
      <c r="F12" s="21">
        <v>86.080152926613408</v>
      </c>
      <c r="G12" s="21">
        <v>77.410217255196784</v>
      </c>
      <c r="H12" s="21">
        <v>59.676194764980139</v>
      </c>
      <c r="I12" s="22">
        <v>46.395490419404197</v>
      </c>
      <c r="J12" s="20"/>
      <c r="K12" s="20"/>
      <c r="L12" s="20" t="str">
        <f>"    "&amp;_xlfn.TEXTJOIN(", ",TRUE,C12:I12)&amp;","</f>
        <v xml:space="preserve">    92.8669502180425, 91.2426907647456, 90.1370532276984, 86.0801529266134, 77.4102172551968, 59.6761947649801, 46.3954904194042,</v>
      </c>
      <c r="M12" s="54" t="s">
        <v>7</v>
      </c>
      <c r="N12" s="55"/>
      <c r="O12" s="21">
        <v>3.8319643020864191</v>
      </c>
      <c r="P12" s="21">
        <v>4.3603246705255447</v>
      </c>
      <c r="Q12" s="21">
        <v>4.7987735191879262</v>
      </c>
      <c r="R12" s="21">
        <v>5.1262965367330251</v>
      </c>
      <c r="S12" s="21">
        <v>7.087258799823358</v>
      </c>
      <c r="T12" s="21">
        <v>9.7457736576346736</v>
      </c>
      <c r="U12" s="22">
        <v>10.021578856839133</v>
      </c>
      <c r="V12" s="20" t="str">
        <f t="shared" ref="V12:V17" si="2">"    "&amp;_xlfn.TEXTJOIN(", ",TRUE,O12:U12)&amp;","</f>
        <v xml:space="preserve">    3.83196430208642, 4.36032467052554, 4.79877351918793, 5.12629653673303, 7.08725879982336, 9.74577365763467, 10.0215788568391,</v>
      </c>
    </row>
    <row r="13" spans="1:22" ht="15.75" thickBot="1" x14ac:dyDescent="0.25">
      <c r="A13" s="8" t="s">
        <v>9</v>
      </c>
      <c r="B13" s="15" t="s">
        <v>8</v>
      </c>
      <c r="C13" s="23">
        <v>92.954292864817049</v>
      </c>
      <c r="D13" s="21">
        <v>92.357759836062456</v>
      </c>
      <c r="E13" s="21">
        <v>91.461562492780971</v>
      </c>
      <c r="F13" s="21">
        <v>86.743979873826419</v>
      </c>
      <c r="G13" s="21">
        <v>81.631453605024419</v>
      </c>
      <c r="H13" s="21">
        <v>64.098881330484801</v>
      </c>
      <c r="I13" s="22">
        <v>49.283860594026933</v>
      </c>
      <c r="J13" s="20"/>
      <c r="K13" s="20"/>
      <c r="L13" s="20" t="str">
        <f t="shared" ref="L13:L17" si="3">"    "&amp;_xlfn.TEXTJOIN(", ",TRUE,C13:I13)&amp;","</f>
        <v xml:space="preserve">    92.954292864817, 92.3577598360625, 91.461562492781, 86.7439798738264, 81.6314536050244, 64.0988813304848, 49.2838605940269,</v>
      </c>
      <c r="M13" s="8" t="s">
        <v>9</v>
      </c>
      <c r="N13" s="15" t="s">
        <v>8</v>
      </c>
      <c r="O13" s="23">
        <v>3.835276536168911</v>
      </c>
      <c r="P13" s="21">
        <v>3.598100406048002</v>
      </c>
      <c r="Q13" s="21">
        <v>4.051880877328581</v>
      </c>
      <c r="R13" s="21">
        <v>4.7809154436796977</v>
      </c>
      <c r="S13" s="21">
        <v>6.0014653506951419</v>
      </c>
      <c r="T13" s="21">
        <v>9.2746718780767559</v>
      </c>
      <c r="U13" s="22">
        <v>10.653904686911019</v>
      </c>
      <c r="V13" s="20" t="str">
        <f t="shared" si="2"/>
        <v xml:space="preserve">    3.83527653616891, 3.598100406048, 4.05188087732858, 4.7809154436797, 6.00146535069514, 9.27467187807676, 10.653904686911,</v>
      </c>
    </row>
    <row r="14" spans="1:22" ht="14.25" customHeight="1" thickBot="1" x14ac:dyDescent="0.25">
      <c r="A14" s="54" t="s">
        <v>10</v>
      </c>
      <c r="B14" s="55"/>
      <c r="C14" s="45">
        <v>92.868050634154315</v>
      </c>
      <c r="D14" s="46">
        <v>92.288231222045297</v>
      </c>
      <c r="E14" s="46">
        <v>91.054287148035144</v>
      </c>
      <c r="F14" s="46">
        <v>84.437885333085376</v>
      </c>
      <c r="G14" s="46">
        <v>74.253673383599548</v>
      </c>
      <c r="H14" s="46">
        <v>57.552195558991649</v>
      </c>
      <c r="I14" s="47">
        <v>45.560977654736433</v>
      </c>
      <c r="J14" s="20"/>
      <c r="K14" s="20"/>
      <c r="L14" s="20" t="str">
        <f t="shared" si="3"/>
        <v xml:space="preserve">    92.8680506341543, 92.2882312220453, 91.0542871480351, 84.4378853330854, 74.2536733835995, 57.5521955589916, 45.5609776547364,</v>
      </c>
      <c r="M14" s="54" t="s">
        <v>10</v>
      </c>
      <c r="N14" s="55"/>
      <c r="O14" s="45">
        <v>4.0949495507503526</v>
      </c>
      <c r="P14" s="46">
        <v>4.4354851591423481</v>
      </c>
      <c r="Q14" s="46">
        <v>4.6437372111598876</v>
      </c>
      <c r="R14" s="46">
        <v>5.0311660763107948</v>
      </c>
      <c r="S14" s="46">
        <v>9.8512038160577102</v>
      </c>
      <c r="T14" s="46">
        <v>11.57485796488027</v>
      </c>
      <c r="U14" s="47">
        <v>10.571075661324681</v>
      </c>
      <c r="V14" s="20" t="str">
        <f t="shared" si="2"/>
        <v xml:space="preserve">    4.09494955075035, 4.43548515914235, 4.64373721115989, 5.03116607631079, 9.85120381605771, 11.5748579648803, 10.5710756613247,</v>
      </c>
    </row>
    <row r="15" spans="1:22" ht="15.75" thickBot="1" x14ac:dyDescent="0.25">
      <c r="A15" s="54" t="s">
        <v>11</v>
      </c>
      <c r="B15" s="55"/>
      <c r="C15" s="45">
        <v>92.513598322189821</v>
      </c>
      <c r="D15" s="46">
        <v>91.261446870594469</v>
      </c>
      <c r="E15" s="46">
        <v>89.758265941661861</v>
      </c>
      <c r="F15" s="46">
        <v>85.044465656129674</v>
      </c>
      <c r="G15" s="46">
        <v>75.898843968080286</v>
      </c>
      <c r="H15" s="46">
        <v>59.465611837116732</v>
      </c>
      <c r="I15" s="48">
        <v>48.473156490254198</v>
      </c>
      <c r="J15" s="20"/>
      <c r="K15" s="20"/>
      <c r="L15" s="20" t="str">
        <f t="shared" si="3"/>
        <v xml:space="preserve">    92.5135983221898, 91.2614468705945, 89.7582659416619, 85.0444656561297, 75.8988439680803, 59.4656118371167, 48.4731564902542,</v>
      </c>
      <c r="M15" s="54" t="s">
        <v>11</v>
      </c>
      <c r="N15" s="55"/>
      <c r="O15" s="45">
        <v>4.2171731523020446</v>
      </c>
      <c r="P15" s="46">
        <v>4.6702984752282681</v>
      </c>
      <c r="Q15" s="46">
        <v>5.0608860361047316</v>
      </c>
      <c r="R15" s="46">
        <v>5.9068575059271318</v>
      </c>
      <c r="S15" s="46">
        <v>8.5966909141817851</v>
      </c>
      <c r="T15" s="46">
        <v>10.771320326074211</v>
      </c>
      <c r="U15" s="48">
        <v>10.23603152809228</v>
      </c>
      <c r="V15" s="20" t="str">
        <f t="shared" si="2"/>
        <v xml:space="preserve">    4.21717315230204, 4.67029847522827, 5.06088603610473, 5.90685750592713, 8.59669091418179, 10.7713203260742, 10.2360315280923,</v>
      </c>
    </row>
    <row r="16" spans="1:22" ht="14.25" customHeight="1" x14ac:dyDescent="0.2">
      <c r="A16" s="8" t="s">
        <v>13</v>
      </c>
      <c r="B16" s="50" t="s">
        <v>12</v>
      </c>
      <c r="C16" s="40">
        <v>92.384696271051709</v>
      </c>
      <c r="D16" s="20">
        <v>91.064746116237558</v>
      </c>
      <c r="E16" s="20">
        <v>89.706740365863908</v>
      </c>
      <c r="F16" s="20">
        <v>81.266684859944064</v>
      </c>
      <c r="G16" s="20">
        <v>68.711708208784543</v>
      </c>
      <c r="H16" s="20">
        <v>57.290199860401387</v>
      </c>
      <c r="I16" s="41">
        <v>46.739399749312987</v>
      </c>
      <c r="J16" s="20"/>
      <c r="K16" s="20"/>
      <c r="L16" s="20" t="str">
        <f t="shared" si="3"/>
        <v xml:space="preserve">    92.3846962710517, 91.0647461162376, 89.7067403658639, 81.2666848599441, 68.7117082087845, 57.2901998604014, 46.739399749313,</v>
      </c>
      <c r="M16" s="8" t="s">
        <v>13</v>
      </c>
      <c r="N16" s="50" t="s">
        <v>12</v>
      </c>
      <c r="O16" s="40">
        <v>4.4473764157450031</v>
      </c>
      <c r="P16" s="20">
        <v>4.0187101439284323</v>
      </c>
      <c r="Q16" s="20">
        <v>4.7779668014831769</v>
      </c>
      <c r="R16" s="20">
        <v>6.6359863685648257</v>
      </c>
      <c r="S16" s="20">
        <v>11.614665967759111</v>
      </c>
      <c r="T16" s="20">
        <v>10.738358030533391</v>
      </c>
      <c r="U16" s="41">
        <v>10.069205406414641</v>
      </c>
      <c r="V16" s="20" t="str">
        <f t="shared" si="2"/>
        <v xml:space="preserve">    4.447376415745, 4.01871014392843, 4.77796680148318, 6.63598636856483, 11.6146659677591, 10.7383580305334, 10.0692054064146,</v>
      </c>
    </row>
    <row r="17" spans="1:22" ht="15.75" thickBot="1" x14ac:dyDescent="0.25">
      <c r="A17" s="17" t="s">
        <v>14</v>
      </c>
      <c r="B17" s="51"/>
      <c r="C17" s="24">
        <v>92.570176373736686</v>
      </c>
      <c r="D17" s="25">
        <v>91.035116753825534</v>
      </c>
      <c r="E17" s="25">
        <v>89.995984735900805</v>
      </c>
      <c r="F17" s="25">
        <v>86.101239818995751</v>
      </c>
      <c r="G17" s="25">
        <v>77.099560389949318</v>
      </c>
      <c r="H17" s="25">
        <v>57.996429145301242</v>
      </c>
      <c r="I17" s="26">
        <v>44.399943110932981</v>
      </c>
      <c r="J17" s="20"/>
      <c r="K17" s="20"/>
      <c r="L17" s="20" t="str">
        <f t="shared" si="3"/>
        <v xml:space="preserve">    92.5701763737367, 91.0351167538255, 89.9959847359008, 86.1012398189958, 77.0995603899493, 57.9964291453012, 44.399943110933,</v>
      </c>
      <c r="M17" s="17" t="s">
        <v>14</v>
      </c>
      <c r="N17" s="51"/>
      <c r="O17" s="24">
        <v>3.882028195540002</v>
      </c>
      <c r="P17" s="25">
        <v>4.4292663319519576</v>
      </c>
      <c r="Q17" s="25">
        <v>5.1354581403320241</v>
      </c>
      <c r="R17" s="25">
        <v>5.8685355921558013</v>
      </c>
      <c r="S17" s="25">
        <v>8.0663639251543504</v>
      </c>
      <c r="T17" s="25">
        <v>9.5110854192429173</v>
      </c>
      <c r="U17" s="26">
        <v>8.058131505188614</v>
      </c>
      <c r="V17" s="20" t="str">
        <f t="shared" si="2"/>
        <v xml:space="preserve">    3.88202819554, 4.42926633195196, 5.13545814033202, 5.8685355921558, 8.06636392515435, 9.51108541924292, 8.05813150518861,</v>
      </c>
    </row>
    <row r="19" spans="1:22" ht="15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2" ht="15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2" ht="15" x14ac:dyDescent="0.2"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2" ht="15" x14ac:dyDescent="0.2"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2" ht="15" x14ac:dyDescent="0.2"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2" ht="15" x14ac:dyDescent="0.2"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2" ht="15" x14ac:dyDescent="0.2"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2" ht="15" x14ac:dyDescent="0.2"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2" ht="15" x14ac:dyDescent="0.2"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2" ht="15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2" ht="15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2" ht="1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2" ht="1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2" ht="1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3:21" ht="1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3:21" ht="1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3:21" ht="1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3:21" ht="1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3:21" ht="1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3:21" ht="1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3:21" ht="1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3:21" ht="1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3:21" ht="1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3:21" ht="1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mergeCells count="20">
    <mergeCell ref="A2:B2"/>
    <mergeCell ref="M2:N2"/>
    <mergeCell ref="A11:B11"/>
    <mergeCell ref="M11:N11"/>
    <mergeCell ref="B7:B8"/>
    <mergeCell ref="N7:N8"/>
    <mergeCell ref="A3:B3"/>
    <mergeCell ref="M3:N3"/>
    <mergeCell ref="A5:B5"/>
    <mergeCell ref="A6:B6"/>
    <mergeCell ref="B16:B17"/>
    <mergeCell ref="N16:N17"/>
    <mergeCell ref="M5:N5"/>
    <mergeCell ref="M6:N6"/>
    <mergeCell ref="A14:B14"/>
    <mergeCell ref="A15:B15"/>
    <mergeCell ref="M14:N14"/>
    <mergeCell ref="M15:N15"/>
    <mergeCell ref="A12:B12"/>
    <mergeCell ref="M12:N12"/>
  </mergeCells>
  <phoneticPr fontId="1" type="noConversion"/>
  <conditionalFormatting sqref="C2:I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K8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fullldata_20260110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2026-01-10T12:31:18Z</dcterms:modified>
</cp:coreProperties>
</file>